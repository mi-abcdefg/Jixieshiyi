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LM_ZCode\"/>
    </mc:Choice>
  </mc:AlternateContent>
  <bookViews>
    <workbookView windowWidth="25600" windowHeight="12080" tabRatio="500"/>
  </bookViews>
  <sheets>
    <sheet name="汇总" sheetId="1" r:id="rId1"/>
    <sheet name="预算明细" sheetId="2" r:id="rId2"/>
    <sheet name="选型配置" sheetId="3" r:id="rId3"/>
    <sheet name="订单记录" sheetId="4" r:id="rId4"/>
    <sheet name="Review" sheetId="5" r:id="rId5"/>
  </sheets>
  <definedNames>
    <definedName name="_xlnm._FilterDatabase" localSheetId="1" hidden="1">预算明细!$B$4:$L$40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<sst xmlns="http://schemas.openxmlformats.org/spreadsheetml/2006/main" count="495" uniqueCount="267">
  <si>
    <t>机器人预算与选型汇总表（2台 · 同配置）</t>
  </si>
  <si>
    <t>按淘宝订单实付款口径（含运费） · 币种：人民币元 · 制表日期 2026-10-18</t>
  </si>
  <si>
    <t>序号</t>
  </si>
  <si>
    <t>类别</t>
  </si>
  <si>
    <t>包含内容</t>
  </si>
  <si>
    <t>实付金额（元）</t>
  </si>
  <si>
    <t>占已实付比例</t>
  </si>
  <si>
    <t>主控与调试</t>
  </si>
  <si>
    <t>STM32F103C8T6核心板 ×3</t>
  </si>
  <si>
    <t>舵机</t>
  </si>
  <si>
    <t>MG995 ×2、SG90 ×6</t>
  </si>
  <si>
    <t>遥控</t>
  </si>
  <si>
    <t>PS2无线手柄 ×2</t>
  </si>
  <si>
    <t>电机与驱动</t>
  </si>
  <si>
    <t>TT马达 ×8、DRV8833 ×4、麦轮套件 ×2</t>
  </si>
  <si>
    <t>底盘</t>
  </si>
  <si>
    <t>4轮金属折弯底盘 ×2</t>
  </si>
  <si>
    <t>电源</t>
  </si>
  <si>
    <t>降压模块 ×2、18650电池 ×4节、电池盒 ×2</t>
  </si>
  <si>
    <t>面包板与连接线</t>
  </si>
  <si>
    <t>面包板 ×1、杜邦线 ×4束</t>
  </si>
  <si>
    <t>无线继电器</t>
  </si>
  <si>
    <t>无线遥控开关 ×2套</t>
  </si>
  <si>
    <t>运费</t>
  </si>
  <si>
    <t>2笔订单快递费</t>
  </si>
  <si>
    <t>尾差</t>
  </si>
  <si>
    <t>2笔订单价格精度尾差</t>
  </si>
  <si>
    <t>表外·紧固件与结构件</t>
  </si>
  <si>
    <t>螺丝/螺母/垫片/铜柱等</t>
  </si>
  <si>
    <t>表外·连接器</t>
  </si>
  <si>
    <t>排针、排母</t>
  </si>
  <si>
    <t>合计</t>
  </si>
  <si>
    <t>注：① 已实付合计含快递运费6.80元与店铺价格精度尾差0.05元；② 无线继电器按官方说明为通过中期测评后购置，本队已提前购入；③ 表外紧固件、垫片、铜柱、排针/排母属规则允许的紧固件/粘合剂/自制件范畴；④ 金额均取淘宝订单“实付款”，明细见“预算明细”与“订单记录”。</t>
  </si>
  <si>
    <t>采购预算明细表（按实付款）</t>
  </si>
  <si>
    <t>两台机器人合计采购量（同配置）；小计=单价×数量；实付口径含运费与店铺尾差</t>
  </si>
  <si>
    <t>物品名称</t>
  </si>
  <si>
    <t>款式/规格</t>
  </si>
  <si>
    <t>单台数量</t>
  </si>
  <si>
    <t>已购数量</t>
  </si>
  <si>
    <t>单价（元）</t>
  </si>
  <si>
    <t>小计（元）</t>
  </si>
  <si>
    <t>采购店铺</t>
  </si>
  <si>
    <t>下单日期</t>
  </si>
  <si>
    <t>备注</t>
  </si>
  <si>
    <t>STM32F103C8T6核心板</t>
  </si>
  <si>
    <t>Micro_焊接</t>
  </si>
  <si>
    <t>1</t>
  </si>
  <si>
    <t>深圳市优信电子科技有限公司</t>
  </si>
  <si>
    <t>2026-09-13</t>
  </si>
  <si>
    <t>每台1块</t>
  </si>
  <si>
    <t>—</t>
  </si>
  <si>
    <t>2026-10-10</t>
  </si>
  <si>
    <t>备用1块（补购）</t>
  </si>
  <si>
    <t>MG995舵机</t>
  </si>
  <si>
    <t>180度 铁+铜齿轮</t>
  </si>
  <si>
    <t>每台1个，主执行关节</t>
  </si>
  <si>
    <t>SG90舵机</t>
  </si>
  <si>
    <t>180度</t>
  </si>
  <si>
    <t>2</t>
  </si>
  <si>
    <t>每台2个</t>
  </si>
  <si>
    <t>备用2个（补购）</t>
  </si>
  <si>
    <t>PS2无线手柄</t>
  </si>
  <si>
    <t>锁定款+直插转接板（排针）</t>
  </si>
  <si>
    <t>1套</t>
  </si>
  <si>
    <t>塔克创新品牌店</t>
  </si>
  <si>
    <t>官方指定可对频锁定款；本单运费3.80元已另列</t>
  </si>
  <si>
    <t>TT马达</t>
  </si>
  <si>
    <t>单轴1比48</t>
  </si>
  <si>
    <t>4</t>
  </si>
  <si>
    <t>RunesKee工业旗舰店</t>
  </si>
  <si>
    <t>每台4个，四轮驱动</t>
  </si>
  <si>
    <t>DRV8833电机驱动模块</t>
  </si>
  <si>
    <t>红板</t>
  </si>
  <si>
    <t>每台2块，每块双H桥驱动2路电机</t>
  </si>
  <si>
    <t>麦克纳姆轮</t>
  </si>
  <si>
    <t>60mm 黄色 一套4个（含TT马达联轴器）</t>
  </si>
  <si>
    <t>每台1套；本单运费3.80元已另列</t>
  </si>
  <si>
    <t>小车底盘</t>
  </si>
  <si>
    <t>4轮金属折弯板（一体带马达孔）</t>
  </si>
  <si>
    <t>欣薇电子企业店</t>
  </si>
  <si>
    <t>每台1块；本单运费3.00元已另列</t>
  </si>
  <si>
    <t>DC-DC降压模块</t>
  </si>
  <si>
    <t>Mini 5V 黑板</t>
  </si>
  <si>
    <t>每台1块，输出5V供核心板与舵机</t>
  </si>
  <si>
    <t>18650电池</t>
  </si>
  <si>
    <t>9250mAh 尖头（两节装）</t>
  </si>
  <si>
    <t>2节</t>
  </si>
  <si>
    <t>EMPERORTIGER旗舰店</t>
  </si>
  <si>
    <t>一单两节装，含双槽充电器；每台2节</t>
  </si>
  <si>
    <t>9250mAh 尖头（单节装）</t>
  </si>
  <si>
    <t>共购3节，每台2节尚缺1节</t>
  </si>
  <si>
    <t>18650电池盒</t>
  </si>
  <si>
    <t>两节 带线</t>
  </si>
  <si>
    <t>每台1个</t>
  </si>
  <si>
    <t>面包板</t>
  </si>
  <si>
    <t>MB-102 830孔</t>
  </si>
  <si>
    <t>官方清单共2个，尚差1个</t>
  </si>
  <si>
    <t>杜邦线</t>
  </si>
  <si>
    <t>10CM 公对公 40P</t>
  </si>
  <si>
    <t>1束</t>
  </si>
  <si>
    <t>10CM 公对母 40P</t>
  </si>
  <si>
    <t>10CM 母对母 40P</t>
  </si>
  <si>
    <t>21CM 公对公 无壳全铜</t>
  </si>
  <si>
    <t>清单外加长线</t>
  </si>
  <si>
    <t>DC5-24V 1个接收器+1个单键</t>
  </si>
  <si>
    <t>乐柠萌科技企业店</t>
  </si>
  <si>
    <t>2026-09-21</t>
  </si>
  <si>
    <t>每台1套；官方说明为通过中期测评后购置</t>
  </si>
  <si>
    <t>快递运费</t>
  </si>
  <si>
    <t>欣薇电子底盘订单</t>
  </si>
  <si>
    <t>塔克创新手柄+麦轮订单</t>
  </si>
  <si>
    <t>不锈钢螺母 M3</t>
  </si>
  <si>
    <t>304 100粒</t>
  </si>
  <si>
    <t>佰瑞特官方旗舰店</t>
  </si>
  <si>
    <t>2026-10-06</t>
  </si>
  <si>
    <t>不锈钢螺母 M2</t>
  </si>
  <si>
    <t>内六角螺丝 M3×5</t>
  </si>
  <si>
    <t>12.9级 100个 全牙</t>
  </si>
  <si>
    <t>内六角螺丝 M3×8</t>
  </si>
  <si>
    <t>内六角螺丝 M2×8</t>
  </si>
  <si>
    <t>十字盘头螺丝 M3×25</t>
  </si>
  <si>
    <t>镀镍带垫 100个</t>
  </si>
  <si>
    <t>海锐新电子商城</t>
  </si>
  <si>
    <t>平垫片 M3×6×0.8</t>
  </si>
  <si>
    <t>304不锈钢 100颗</t>
  </si>
  <si>
    <t>嘉耐特官方旗舰店</t>
  </si>
  <si>
    <t>六角铜柱 M3×10+4</t>
  </si>
  <si>
    <t>单头 40个</t>
  </si>
  <si>
    <t>304 200只</t>
  </si>
  <si>
    <t>固万基官方旗舰店</t>
  </si>
  <si>
    <t>2026-10-01</t>
  </si>
  <si>
    <t>单排针</t>
  </si>
  <si>
    <t>2.54mm 5P 20条</t>
  </si>
  <si>
    <t>晶凝峰芯达专卖店</t>
  </si>
  <si>
    <t>2026-09-18</t>
  </si>
  <si>
    <t>手柄转接板等焊接用</t>
  </si>
  <si>
    <t>单排母</t>
  </si>
  <si>
    <t>2.54mm 1×10P 塑高5.7 10条</t>
  </si>
  <si>
    <t>2.54mm 1×4P 20只</t>
  </si>
  <si>
    <t>深圳市英莱利科技有限公司</t>
  </si>
  <si>
    <t>2026-09-27</t>
  </si>
  <si>
    <t>订单尾差</t>
  </si>
  <si>
    <t>塔克单0.01元 + 优信单0.04元</t>
  </si>
  <si>
    <t>店铺价格精度/凑单优惠所致，小计为直接给定值</t>
  </si>
  <si>
    <t>实付合计（14笔订单，含运费与尾差）</t>
  </si>
  <si>
    <t>三、待购 / 建议补购（尚未实际支出，不计入上方实付合计）</t>
  </si>
  <si>
    <t>待1</t>
  </si>
  <si>
    <t>待购·必买</t>
  </si>
  <si>
    <t>ST-LINK V2仿真器</t>
  </si>
  <si>
    <t>ST-LINK V2 可升级版</t>
  </si>
  <si>
    <t>官方物资表内参考价；截图订单中未见购买记录，固件烧录必需</t>
  </si>
  <si>
    <t>待2</t>
  </si>
  <si>
    <t>待购·建议补购</t>
  </si>
  <si>
    <t>官方清单共2个，已购1个；按已购同款单价估算</t>
  </si>
  <si>
    <t>待3</t>
  </si>
  <si>
    <t>9250mAh 尖头</t>
  </si>
  <si>
    <t>每台2节共需4节，已购3节；按已购同款单价估算</t>
  </si>
  <si>
    <t>待购小计</t>
  </si>
  <si>
    <t>预算总计（已实付 + 待购）</t>
  </si>
  <si>
    <t>注：ST-LINK V2为官方物资表内器材，按官方参考价12.42元列支；面包板、18650电池按本队已购同款单价估算。</t>
  </si>
  <si>
    <t>每台选型配置表（两台配置相同）</t>
  </si>
  <si>
    <t>“单台数量”为一台机器人所需，两台合计=单台数量×2；“已购数量”含备用件</t>
  </si>
  <si>
    <t>功能部位</t>
  </si>
  <si>
    <t>选型（款式/规格）</t>
  </si>
  <si>
    <t>两台合计</t>
  </si>
  <si>
    <t>备货情况</t>
  </si>
  <si>
    <t>选型说明</t>
  </si>
  <si>
    <t>主控</t>
  </si>
  <si>
    <t>STM32F103C8T6核心板（Micro_焊接）</t>
  </si>
  <si>
    <t>3</t>
  </si>
  <si>
    <t>已备足（含备用1块）</t>
  </si>
  <si>
    <t>ARM Cortex-M3 主控，两台同配置，负责运动控制与遥控指令解算</t>
  </si>
  <si>
    <t>PS2无线手柄（可对频锁定款+直插转接板）</t>
  </si>
  <si>
    <t>2套</t>
  </si>
  <si>
    <t>已备足</t>
  </si>
  <si>
    <t>官方指定可对频锁定款，避免同频干扰导致失控</t>
  </si>
  <si>
    <t>执行机构-大扭矩</t>
  </si>
  <si>
    <t>MG995舵机（180度 铁+铜齿轮）</t>
  </si>
  <si>
    <t>金属齿轮大扭矩舵机，用于负载较大的执行关节</t>
  </si>
  <si>
    <t>执行机构-轻型</t>
  </si>
  <si>
    <t>SG90舵机（180度）</t>
  </si>
  <si>
    <t>6</t>
  </si>
  <si>
    <t>已备足（含备用2个）</t>
  </si>
  <si>
    <t>轻量舵机，用于夹取等小型动作</t>
  </si>
  <si>
    <t>电机驱动</t>
  </si>
  <si>
    <t>DRV8833驱动模块（红板）</t>
  </si>
  <si>
    <t>双H桥芯片，每块驱动2个TT电机，共4路</t>
  </si>
  <si>
    <t>行走电机</t>
  </si>
  <si>
    <t>TT马达（单轴1:48减速）</t>
  </si>
  <si>
    <t>8</t>
  </si>
  <si>
    <t>DC3-6V直流减速电机，四轮驱动</t>
  </si>
  <si>
    <t>轮组</t>
  </si>
  <si>
    <t>麦克纳姆轮60mm（一套4个，含联轴器）</t>
  </si>
  <si>
    <t>支持横移、斜向与原地转向</t>
  </si>
  <si>
    <t>4轮金属折弯底盘（一体带马达孔）</t>
  </si>
  <si>
    <t>约25.5×15cm金属底板，整车安装平台</t>
  </si>
  <si>
    <t>电池</t>
  </si>
  <si>
    <t>18650锂电池（9250mAh 尖头）</t>
  </si>
  <si>
    <t>4节</t>
  </si>
  <si>
    <t>3节</t>
  </si>
  <si>
    <t>尚缺1节（建议补购）</t>
  </si>
  <si>
    <t>经电池盒串联约7.4V，为电机与驱动供电</t>
  </si>
  <si>
    <t>电池盒</t>
  </si>
  <si>
    <t>18650两节带线电池盒</t>
  </si>
  <si>
    <t>与18650电池配套</t>
  </si>
  <si>
    <t>充电器</t>
  </si>
  <si>
    <t>18650双槽充电器</t>
  </si>
  <si>
    <t>共用1</t>
  </si>
  <si>
    <t>已备足（随电池购入）</t>
  </si>
  <si>
    <t>两台共用</t>
  </si>
  <si>
    <t>供电转换</t>
  </si>
  <si>
    <t>DC-DC降压模块（Mini 5V 黑板）</t>
  </si>
  <si>
    <t>将电池电压降至5V，供核心板与舵机</t>
  </si>
  <si>
    <t>下载调试</t>
  </si>
  <si>
    <t>0</t>
  </si>
  <si>
    <t>待购</t>
  </si>
  <si>
    <t>固件烧录与在线调试，官方物资表内（参考价12.42元）</t>
  </si>
  <si>
    <t>电路搭建</t>
  </si>
  <si>
    <t>面包板 MB-102（830孔）</t>
  </si>
  <si>
    <t>尚差1个（建议补购）</t>
  </si>
  <si>
    <t>官方物资表清单共2个</t>
  </si>
  <si>
    <t>杜邦线（10CM公对公/公对母/母对母各1束、21CM公对公1束）</t>
  </si>
  <si>
    <t>若干</t>
  </si>
  <si>
    <t>4束</t>
  </si>
  <si>
    <t>模块间信号与电源连接</t>
  </si>
  <si>
    <t>分离控制</t>
  </si>
  <si>
    <t>无线继电器（DC5-24V，1接收器+1单键）</t>
  </si>
  <si>
    <t>官方规定：通过中期测评的队伍购置使用</t>
  </si>
  <si>
    <t>装配紧固</t>
  </si>
  <si>
    <t>M2/M3螺丝、螺母、垫片、铜柱等</t>
  </si>
  <si>
    <t>已购</t>
  </si>
  <si>
    <t>属赛事规则允许的紧固件范畴</t>
  </si>
  <si>
    <t>板间连接</t>
  </si>
  <si>
    <t>排针/排母（2.54mm，5P/10P/4P）</t>
  </si>
  <si>
    <t>转接板焊接与自制板接口</t>
  </si>
  <si>
    <t>注：备货情况中“待购/尚缺”项对应“预算明细”表待购清单；核心板与SG90舵机已含备用件。</t>
  </si>
  <si>
    <t>淘宝订单记录（实付款核对）</t>
  </si>
  <si>
    <t>共14笔订单；“订单实付款”以订单页截图为准，是预算的唯一金额口径</t>
  </si>
  <si>
    <t>店铺</t>
  </si>
  <si>
    <t>商品内容</t>
  </si>
  <si>
    <t>商品小计（元）</t>
  </si>
  <si>
    <t>运费（元）</t>
  </si>
  <si>
    <t>订单实付款（元）</t>
  </si>
  <si>
    <t>4WD金属底盘折弯板 ×2</t>
  </si>
  <si>
    <t>TT马达 单轴1:48 ×8</t>
  </si>
  <si>
    <t>18650电池2节装+1节装（含双槽充电器）</t>
  </si>
  <si>
    <t>PS2无线手柄 ×2、麦轮套件 ×2</t>
  </si>
  <si>
    <t>实付款较商品合计多0.01元，为店铺价格精度尾差</t>
  </si>
  <si>
    <t>SG90×4、MG995×2、DRV8833×4、降压×2、杜邦线×4束、面包板、STM32×2、电池盒×2</t>
  </si>
  <si>
    <t>实付款较商品合计多0.04元，为店铺价格精度尾差</t>
  </si>
  <si>
    <t>单排针5P×20条、单排母1×10P×10条</t>
  </si>
  <si>
    <t>无线遥控开关（1接收器+1单键）×2</t>
  </si>
  <si>
    <t>单排母1×4P ×20只</t>
  </si>
  <si>
    <t>M3不锈钢螺母 304 200只</t>
  </si>
  <si>
    <t>M3/M2螺母、M3×5、M3×8、M2×8内六角螺丝（共500件）</t>
  </si>
  <si>
    <t>M3×6×0.8平垫片 100颗</t>
  </si>
  <si>
    <t>M3×10+4六角铜柱 40个</t>
  </si>
  <si>
    <t>SG90×2、STM32核心板 ×1（补购）</t>
  </si>
  <si>
    <t>M3×25十字盘头螺丝 100个</t>
  </si>
  <si>
    <t>数据交叉校验</t>
  </si>
  <si>
    <t>校验项</t>
  </si>
  <si>
    <t>预期值</t>
  </si>
  <si>
    <t>实际值</t>
  </si>
  <si>
    <t>结果</t>
  </si>
  <si>
    <t>明细表实付合计 = 订单表实付合计</t>
  </si>
  <si>
    <t>汇总页分类合计 = 明细表实付合计</t>
  </si>
  <si>
    <t>预算总计 = 已实付+必购+补购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</si>
</sst>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0.0%"/>
  </numFmts>
  <fonts count="28">
    <font>
      <sz val="11"/>
      <color theme="1"/>
      <name val="Noto Sans SC"/>
      <charset val="134"/>
    </font>
    <font>
      <b/>
      <sz val="16"/>
      <color rgb="FF1B2A4A"/>
      <name val="Microsoft YaHei"/>
      <charset val="1"/>
    </font>
    <font>
      <b/>
      <sz val="11"/>
      <color rgb="FFFFFFFF"/>
      <name val="Microsoft YaHei"/>
      <charset val="1"/>
    </font>
    <font>
      <sz val="11"/>
      <color rgb="FF37352F"/>
      <name val="Microsoft YaHei"/>
      <charset val="1"/>
    </font>
    <font>
      <sz val="9"/>
      <color rgb="FF8C8A84"/>
      <name val="Microsoft YaHei"/>
      <charset val="1"/>
    </font>
    <font>
      <b/>
      <sz val="11"/>
      <color rgb="FF1B2A4A"/>
      <name val="Microsoft YaHei"/>
      <charset val="1"/>
    </font>
    <font>
      <b/>
      <sz val="12"/>
      <color rgb="FF1B2A4A"/>
      <name val="Microsoft YaHe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176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176" fontId="3" fillId="4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3" fontId="3" fillId="3" borderId="0" xfId="0" applyNumberFormat="1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center" vertical="center" wrapText="1"/>
    </xf>
    <xf numFmtId="0" fontId="5" fillId="5" borderId="2" xfId="0" applyFont="1" applyFill="1" applyBorder="1"/>
    <xf numFmtId="176" fontId="5" fillId="5" borderId="2" xfId="0" applyNumberFormat="1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/>
    </xf>
    <xf numFmtId="177" fontId="3" fillId="3" borderId="0" xfId="0" applyNumberFormat="1" applyFont="1" applyFill="1" applyAlignment="1">
      <alignment horizontal="right" vertical="center" wrapText="1"/>
    </xf>
    <xf numFmtId="177" fontId="3" fillId="4" borderId="0" xfId="0" applyNumberFormat="1" applyFont="1" applyFill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C8A84"/>
      <rgbColor rgb="009999FF"/>
      <rgbColor rgb="00993366"/>
      <rgbColor rgb="00F7F7F5"/>
      <rgbColor rgb="00E9E9E8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1B2A4A"/>
      <rgbColor rgb="00339966"/>
      <rgbColor rgb="00003300"/>
      <rgbColor rgb="00333300"/>
      <rgbColor rgb="00993300"/>
      <rgbColor rgb="00993366"/>
      <rgbColor rgb="00333399"/>
      <rgbColor rgb="00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19"/>
  <sheetViews>
    <sheetView showGridLines="0" tabSelected="1" workbookViewId="0">
      <selection activeCell="I5" sqref="I5"/>
    </sheetView>
  </sheetViews>
  <sheetFormatPr defaultColWidth="7.69166666666667" defaultRowHeight="18.5" outlineLevelCol="5"/>
  <cols>
    <col min="1" max="1" width="2.73333333333333" customWidth="1"/>
    <col min="2" max="2" width="7.28333333333333" customWidth="1"/>
    <col min="3" max="3" width="23.6583333333333" customWidth="1"/>
    <col min="4" max="4" width="30.9333333333333" customWidth="1"/>
    <col min="5" max="5" width="12.7416666666667" customWidth="1"/>
    <col min="6" max="6" width="10.9166666666667" customWidth="1"/>
  </cols>
  <sheetData>
    <row r="1" ht="15" customHeight="1"/>
    <row r="2" ht="31.5" customHeight="1" spans="2:6">
      <c r="B2" s="1" t="s">
        <v>0</v>
      </c>
      <c r="C2" s="1"/>
      <c r="D2" s="1"/>
      <c r="E2" s="1"/>
      <c r="F2" s="1"/>
    </row>
    <row r="3" ht="15.75" customHeight="1" spans="2:6">
      <c r="B3" s="9" t="s">
        <v>1</v>
      </c>
      <c r="C3" s="9"/>
      <c r="D3" s="9"/>
      <c r="E3" s="9"/>
      <c r="F3" s="9"/>
    </row>
    <row r="4" ht="36" customHeight="1" spans="2: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85.5" customHeight="1" spans="2:6">
      <c r="B5" s="10">
        <v>1</v>
      </c>
      <c r="C5" s="3" t="s">
        <v>7</v>
      </c>
      <c r="D5" s="3" t="s">
        <v>8</v>
      </c>
      <c r="E5" s="4">
        <f>SUMIF(预算明细!$C$5:$C$39,C5,预算明细!$I$5:$I$39)</f>
        <v>26.45</v>
      </c>
      <c r="F5" s="15">
        <f t="shared" ref="F5:F16" si="0">IFERROR(E5/$E$17,0)</f>
        <v>0.0639676896660137</v>
      </c>
    </row>
    <row r="6" ht="85.5" customHeight="1" spans="2:6">
      <c r="B6" s="11">
        <v>2</v>
      </c>
      <c r="C6" s="6" t="s">
        <v>9</v>
      </c>
      <c r="D6" s="6" t="s">
        <v>10</v>
      </c>
      <c r="E6" s="7">
        <f>SUMIF(预算明细!$C$5:$C$39,C6,预算明细!$I$5:$I$39)</f>
        <v>62.3</v>
      </c>
      <c r="F6" s="16">
        <f t="shared" si="0"/>
        <v>0.150668698154732</v>
      </c>
    </row>
    <row r="7" ht="85.5" customHeight="1" spans="2:6">
      <c r="B7" s="10">
        <v>3</v>
      </c>
      <c r="C7" s="3" t="s">
        <v>11</v>
      </c>
      <c r="D7" s="3" t="s">
        <v>12</v>
      </c>
      <c r="E7" s="4">
        <f>SUMIF(预算明细!$C$5:$C$39,C7,预算明细!$I$5:$I$39)</f>
        <v>81.96</v>
      </c>
      <c r="F7" s="15">
        <f t="shared" si="0"/>
        <v>0.1982151926286</v>
      </c>
    </row>
    <row r="8" ht="85.5" customHeight="1" spans="2:6">
      <c r="B8" s="11">
        <v>4</v>
      </c>
      <c r="C8" s="6" t="s">
        <v>13</v>
      </c>
      <c r="D8" s="6" t="s">
        <v>14</v>
      </c>
      <c r="E8" s="7">
        <f>SUMIF(预算明细!$C$5:$C$39,C8,预算明细!$I$5:$I$39)</f>
        <v>103.18</v>
      </c>
      <c r="F8" s="16">
        <f t="shared" si="0"/>
        <v>0.249534450651769</v>
      </c>
    </row>
    <row r="9" ht="85.5" customHeight="1" spans="2:6">
      <c r="B9" s="10">
        <v>5</v>
      </c>
      <c r="C9" s="3" t="s">
        <v>15</v>
      </c>
      <c r="D9" s="3" t="s">
        <v>16</v>
      </c>
      <c r="E9" s="4">
        <f>SUMIF(预算明细!$C$5:$C$39,C9,预算明细!$I$5:$I$39)</f>
        <v>22.18</v>
      </c>
      <c r="F9" s="15">
        <f t="shared" si="0"/>
        <v>0.0536409586688916</v>
      </c>
    </row>
    <row r="10" ht="85.5" customHeight="1" spans="2:6">
      <c r="B10" s="11">
        <v>6</v>
      </c>
      <c r="C10" s="6" t="s">
        <v>17</v>
      </c>
      <c r="D10" s="6" t="s">
        <v>18</v>
      </c>
      <c r="E10" s="7">
        <f>SUMIF(预算明细!$C$5:$C$39,C10,预算明细!$I$5:$I$39)</f>
        <v>34.98</v>
      </c>
      <c r="F10" s="16">
        <f t="shared" si="0"/>
        <v>0.0845969672785315</v>
      </c>
    </row>
    <row r="11" ht="85.5" customHeight="1" spans="2:6">
      <c r="B11" s="10">
        <v>7</v>
      </c>
      <c r="C11" s="3" t="s">
        <v>19</v>
      </c>
      <c r="D11" s="3" t="s">
        <v>20</v>
      </c>
      <c r="E11" s="4">
        <f>SUMIF(预算明细!$C$5:$C$39,C11,预算明细!$I$5:$I$39)</f>
        <v>14.68</v>
      </c>
      <c r="F11" s="15">
        <f t="shared" si="0"/>
        <v>0.0355026723741807</v>
      </c>
    </row>
    <row r="12" ht="85.5" customHeight="1" spans="2:6">
      <c r="B12" s="11">
        <v>8</v>
      </c>
      <c r="C12" s="6" t="s">
        <v>21</v>
      </c>
      <c r="D12" s="6" t="s">
        <v>22</v>
      </c>
      <c r="E12" s="7">
        <f>SUMIF(预算明细!$C$5:$C$39,C12,预算明细!$I$5:$I$39)</f>
        <v>27.6</v>
      </c>
      <c r="F12" s="16">
        <f t="shared" si="0"/>
        <v>0.066748893564536</v>
      </c>
    </row>
    <row r="13" ht="85.5" customHeight="1" spans="2:6">
      <c r="B13" s="10">
        <v>9</v>
      </c>
      <c r="C13" s="3" t="s">
        <v>23</v>
      </c>
      <c r="D13" s="3" t="s">
        <v>24</v>
      </c>
      <c r="E13" s="4">
        <f>SUMIF(预算明细!$C$5:$C$39,C13,预算明细!$I$5:$I$39)</f>
        <v>6.8</v>
      </c>
      <c r="F13" s="15">
        <f t="shared" si="0"/>
        <v>0.0164453795738712</v>
      </c>
    </row>
    <row r="14" ht="85.5" customHeight="1" spans="2:6">
      <c r="B14" s="11">
        <v>10</v>
      </c>
      <c r="C14" s="6" t="s">
        <v>25</v>
      </c>
      <c r="D14" s="6" t="s">
        <v>26</v>
      </c>
      <c r="E14" s="7">
        <f>SUMIF(预算明细!$C$5:$C$39,C14,预算明细!$I$5:$I$39)</f>
        <v>0.05</v>
      </c>
      <c r="F14" s="16">
        <f t="shared" si="0"/>
        <v>0.000120921908631406</v>
      </c>
    </row>
    <row r="15" ht="85.5" customHeight="1" spans="2:6">
      <c r="B15" s="10">
        <v>11</v>
      </c>
      <c r="C15" s="3" t="s">
        <v>27</v>
      </c>
      <c r="D15" s="3" t="s">
        <v>28</v>
      </c>
      <c r="E15" s="4">
        <f>SUMIF(预算明细!$C$5:$C$39,C15,预算明细!$I$5:$I$39)</f>
        <v>24.68</v>
      </c>
      <c r="F15" s="15">
        <f t="shared" si="0"/>
        <v>0.0596870541004619</v>
      </c>
    </row>
    <row r="16" ht="85.5" customHeight="1" spans="2:6">
      <c r="B16" s="11">
        <v>12</v>
      </c>
      <c r="C16" s="6" t="s">
        <v>29</v>
      </c>
      <c r="D16" s="6" t="s">
        <v>30</v>
      </c>
      <c r="E16" s="7">
        <f>SUMIF(预算明细!$C$5:$C$39,C16,预算明细!$I$5:$I$39)</f>
        <v>8.63</v>
      </c>
      <c r="F16" s="16">
        <f t="shared" si="0"/>
        <v>0.0208711214297806</v>
      </c>
    </row>
    <row r="17" ht="37.5" customHeight="1" spans="2:6">
      <c r="B17" s="12"/>
      <c r="C17" s="12" t="s">
        <v>31</v>
      </c>
      <c r="D17" s="12"/>
      <c r="E17" s="13">
        <f>SUM(E5:E16)</f>
        <v>413.49</v>
      </c>
      <c r="F17" s="12"/>
    </row>
    <row r="19" ht="42" customHeight="1" spans="2:6">
      <c r="B19" s="9" t="s">
        <v>32</v>
      </c>
      <c r="C19" s="9"/>
      <c r="D19" s="9"/>
      <c r="E19" s="9"/>
      <c r="F19" s="9"/>
    </row>
  </sheetData>
  <mergeCells count="3">
    <mergeCell ref="B2:F2"/>
    <mergeCell ref="B3:F3"/>
    <mergeCell ref="B19:F19"/>
  </mergeCells>
  <pageMargins left="0.4" right="0.4" top="0.5" bottom="0.5" header="0.511811023622047" footer="0.511811023622047"/>
  <pageSetup paperSize="1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49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7.69166666666667" defaultRowHeight="18.5"/>
  <cols>
    <col min="1" max="1" width="2.73333333333333" customWidth="1"/>
    <col min="2" max="2" width="5.45833333333333" customWidth="1"/>
    <col min="3" max="4" width="18.2" customWidth="1"/>
    <col min="5" max="5" width="23.6583333333333" customWidth="1"/>
    <col min="6" max="7" width="9.1" customWidth="1"/>
    <col min="8" max="9" width="10.0083333333333" customWidth="1"/>
    <col min="10" max="10" width="23.6583333333333" customWidth="1"/>
    <col min="11" max="11" width="10.9166666666667" customWidth="1"/>
    <col min="12" max="12" width="27.3" customWidth="1"/>
  </cols>
  <sheetData>
    <row r="1" ht="15" customHeight="1"/>
    <row r="2" ht="31.5" customHeight="1" spans="2:12">
      <c r="B2" s="1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15.75" customHeight="1" spans="2:12">
      <c r="B3" s="9" t="s">
        <v>34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ht="27.75" customHeight="1" spans="2:12">
      <c r="B4" s="2" t="s">
        <v>2</v>
      </c>
      <c r="C4" s="2" t="s">
        <v>3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</row>
    <row r="5" ht="37.5" customHeight="1" spans="2:12">
      <c r="B5" s="10">
        <v>1</v>
      </c>
      <c r="C5" s="3" t="s">
        <v>7</v>
      </c>
      <c r="D5" s="3" t="s">
        <v>44</v>
      </c>
      <c r="E5" s="3" t="s">
        <v>45</v>
      </c>
      <c r="F5" s="5" t="s">
        <v>46</v>
      </c>
      <c r="G5" s="10">
        <v>2</v>
      </c>
      <c r="H5" s="4">
        <v>9.23</v>
      </c>
      <c r="I5" s="4">
        <f t="shared" ref="I5:I38" si="0">H5*G5</f>
        <v>18.46</v>
      </c>
      <c r="J5" s="3" t="s">
        <v>47</v>
      </c>
      <c r="K5" s="5" t="s">
        <v>48</v>
      </c>
      <c r="L5" s="3" t="s">
        <v>49</v>
      </c>
    </row>
    <row r="6" ht="37.5" customHeight="1" spans="2:12">
      <c r="B6" s="11">
        <v>2</v>
      </c>
      <c r="C6" s="6" t="s">
        <v>7</v>
      </c>
      <c r="D6" s="6" t="s">
        <v>44</v>
      </c>
      <c r="E6" s="6" t="s">
        <v>45</v>
      </c>
      <c r="F6" s="8" t="s">
        <v>50</v>
      </c>
      <c r="G6" s="11">
        <v>1</v>
      </c>
      <c r="H6" s="7">
        <v>7.99</v>
      </c>
      <c r="I6" s="7">
        <f t="shared" si="0"/>
        <v>7.99</v>
      </c>
      <c r="J6" s="6" t="s">
        <v>47</v>
      </c>
      <c r="K6" s="8" t="s">
        <v>51</v>
      </c>
      <c r="L6" s="6" t="s">
        <v>52</v>
      </c>
    </row>
    <row r="7" ht="21.75" customHeight="1" spans="2:12">
      <c r="B7" s="10">
        <v>3</v>
      </c>
      <c r="C7" s="3" t="s">
        <v>9</v>
      </c>
      <c r="D7" s="3" t="s">
        <v>53</v>
      </c>
      <c r="E7" s="3" t="s">
        <v>54</v>
      </c>
      <c r="F7" s="5" t="s">
        <v>46</v>
      </c>
      <c r="G7" s="10">
        <v>2</v>
      </c>
      <c r="H7" s="4">
        <v>14.39</v>
      </c>
      <c r="I7" s="4">
        <f t="shared" si="0"/>
        <v>28.78</v>
      </c>
      <c r="J7" s="3" t="s">
        <v>47</v>
      </c>
      <c r="K7" s="5" t="s">
        <v>48</v>
      </c>
      <c r="L7" s="3" t="s">
        <v>55</v>
      </c>
    </row>
    <row r="8" ht="21.75" customHeight="1" spans="2:12">
      <c r="B8" s="11">
        <v>4</v>
      </c>
      <c r="C8" s="6" t="s">
        <v>9</v>
      </c>
      <c r="D8" s="6" t="s">
        <v>56</v>
      </c>
      <c r="E8" s="6" t="s">
        <v>57</v>
      </c>
      <c r="F8" s="8" t="s">
        <v>58</v>
      </c>
      <c r="G8" s="11">
        <v>4</v>
      </c>
      <c r="H8" s="7">
        <v>5.85</v>
      </c>
      <c r="I8" s="7">
        <f t="shared" si="0"/>
        <v>23.4</v>
      </c>
      <c r="J8" s="6" t="s">
        <v>47</v>
      </c>
      <c r="K8" s="8" t="s">
        <v>48</v>
      </c>
      <c r="L8" s="6" t="s">
        <v>59</v>
      </c>
    </row>
    <row r="9" ht="21.75" customHeight="1" spans="2:12">
      <c r="B9" s="10">
        <v>5</v>
      </c>
      <c r="C9" s="3" t="s">
        <v>9</v>
      </c>
      <c r="D9" s="3" t="s">
        <v>56</v>
      </c>
      <c r="E9" s="3" t="s">
        <v>57</v>
      </c>
      <c r="F9" s="5" t="s">
        <v>50</v>
      </c>
      <c r="G9" s="10">
        <v>2</v>
      </c>
      <c r="H9" s="4">
        <v>5.06</v>
      </c>
      <c r="I9" s="4">
        <f t="shared" si="0"/>
        <v>10.12</v>
      </c>
      <c r="J9" s="3" t="s">
        <v>47</v>
      </c>
      <c r="K9" s="5" t="s">
        <v>51</v>
      </c>
      <c r="L9" s="3" t="s">
        <v>60</v>
      </c>
    </row>
    <row r="10" ht="37.5" customHeight="1" spans="2:12">
      <c r="B10" s="11">
        <v>6</v>
      </c>
      <c r="C10" s="6" t="s">
        <v>11</v>
      </c>
      <c r="D10" s="6" t="s">
        <v>61</v>
      </c>
      <c r="E10" s="6" t="s">
        <v>62</v>
      </c>
      <c r="F10" s="8" t="s">
        <v>63</v>
      </c>
      <c r="G10" s="11">
        <v>2</v>
      </c>
      <c r="H10" s="7">
        <v>40.98</v>
      </c>
      <c r="I10" s="7">
        <f t="shared" si="0"/>
        <v>81.96</v>
      </c>
      <c r="J10" s="6" t="s">
        <v>64</v>
      </c>
      <c r="K10" s="8" t="s">
        <v>48</v>
      </c>
      <c r="L10" s="6" t="s">
        <v>65</v>
      </c>
    </row>
    <row r="11" ht="21.75" customHeight="1" spans="2:12">
      <c r="B11" s="10">
        <v>7</v>
      </c>
      <c r="C11" s="3" t="s">
        <v>13</v>
      </c>
      <c r="D11" s="3" t="s">
        <v>66</v>
      </c>
      <c r="E11" s="3" t="s">
        <v>67</v>
      </c>
      <c r="F11" s="5" t="s">
        <v>68</v>
      </c>
      <c r="G11" s="10">
        <v>8</v>
      </c>
      <c r="H11" s="4">
        <v>2.83</v>
      </c>
      <c r="I11" s="4">
        <f t="shared" si="0"/>
        <v>22.64</v>
      </c>
      <c r="J11" s="3" t="s">
        <v>69</v>
      </c>
      <c r="K11" s="5" t="s">
        <v>48</v>
      </c>
      <c r="L11" s="3" t="s">
        <v>70</v>
      </c>
    </row>
    <row r="12" ht="21.75" customHeight="1" spans="2:12">
      <c r="B12" s="11">
        <v>8</v>
      </c>
      <c r="C12" s="6" t="s">
        <v>13</v>
      </c>
      <c r="D12" s="6" t="s">
        <v>71</v>
      </c>
      <c r="E12" s="6" t="s">
        <v>72</v>
      </c>
      <c r="F12" s="8" t="s">
        <v>58</v>
      </c>
      <c r="G12" s="11">
        <v>4</v>
      </c>
      <c r="H12" s="7">
        <v>2.03</v>
      </c>
      <c r="I12" s="7">
        <f t="shared" si="0"/>
        <v>8.12</v>
      </c>
      <c r="J12" s="6" t="s">
        <v>47</v>
      </c>
      <c r="K12" s="8" t="s">
        <v>48</v>
      </c>
      <c r="L12" s="6" t="s">
        <v>73</v>
      </c>
    </row>
    <row r="13" ht="37.5" customHeight="1" spans="2:12">
      <c r="B13" s="10">
        <v>9</v>
      </c>
      <c r="C13" s="3" t="s">
        <v>13</v>
      </c>
      <c r="D13" s="3" t="s">
        <v>74</v>
      </c>
      <c r="E13" s="3" t="s">
        <v>75</v>
      </c>
      <c r="F13" s="5" t="s">
        <v>63</v>
      </c>
      <c r="G13" s="10">
        <v>2</v>
      </c>
      <c r="H13" s="4">
        <v>36.21</v>
      </c>
      <c r="I13" s="4">
        <f t="shared" si="0"/>
        <v>72.42</v>
      </c>
      <c r="J13" s="3" t="s">
        <v>64</v>
      </c>
      <c r="K13" s="5" t="s">
        <v>48</v>
      </c>
      <c r="L13" s="3" t="s">
        <v>76</v>
      </c>
    </row>
    <row r="14" ht="37.5" customHeight="1" spans="2:12">
      <c r="B14" s="11">
        <v>10</v>
      </c>
      <c r="C14" s="6" t="s">
        <v>15</v>
      </c>
      <c r="D14" s="6" t="s">
        <v>77</v>
      </c>
      <c r="E14" s="6" t="s">
        <v>78</v>
      </c>
      <c r="F14" s="8" t="s">
        <v>46</v>
      </c>
      <c r="G14" s="11">
        <v>2</v>
      </c>
      <c r="H14" s="7">
        <v>11.09</v>
      </c>
      <c r="I14" s="7">
        <f t="shared" si="0"/>
        <v>22.18</v>
      </c>
      <c r="J14" s="6" t="s">
        <v>79</v>
      </c>
      <c r="K14" s="8" t="s">
        <v>48</v>
      </c>
      <c r="L14" s="6" t="s">
        <v>80</v>
      </c>
    </row>
    <row r="15" ht="21.75" customHeight="1" spans="2:12">
      <c r="B15" s="10">
        <v>11</v>
      </c>
      <c r="C15" s="3" t="s">
        <v>17</v>
      </c>
      <c r="D15" s="3" t="s">
        <v>81</v>
      </c>
      <c r="E15" s="3" t="s">
        <v>82</v>
      </c>
      <c r="F15" s="5" t="s">
        <v>46</v>
      </c>
      <c r="G15" s="10">
        <v>2</v>
      </c>
      <c r="H15" s="4">
        <v>2.07</v>
      </c>
      <c r="I15" s="4">
        <f t="shared" si="0"/>
        <v>4.14</v>
      </c>
      <c r="J15" s="3" t="s">
        <v>47</v>
      </c>
      <c r="K15" s="5" t="s">
        <v>48</v>
      </c>
      <c r="L15" s="3" t="s">
        <v>83</v>
      </c>
    </row>
    <row r="16" ht="37.5" customHeight="1" spans="2:12">
      <c r="B16" s="11">
        <v>12</v>
      </c>
      <c r="C16" s="6" t="s">
        <v>17</v>
      </c>
      <c r="D16" s="6" t="s">
        <v>84</v>
      </c>
      <c r="E16" s="6" t="s">
        <v>85</v>
      </c>
      <c r="F16" s="8" t="s">
        <v>86</v>
      </c>
      <c r="G16" s="11">
        <v>1</v>
      </c>
      <c r="H16" s="7">
        <v>19.89</v>
      </c>
      <c r="I16" s="7">
        <f t="shared" si="0"/>
        <v>19.89</v>
      </c>
      <c r="J16" s="6" t="s">
        <v>87</v>
      </c>
      <c r="K16" s="8" t="s">
        <v>48</v>
      </c>
      <c r="L16" s="6" t="s">
        <v>88</v>
      </c>
    </row>
    <row r="17" ht="21.75" customHeight="1" spans="2:12">
      <c r="B17" s="10">
        <v>13</v>
      </c>
      <c r="C17" s="3" t="s">
        <v>17</v>
      </c>
      <c r="D17" s="3" t="s">
        <v>84</v>
      </c>
      <c r="E17" s="3" t="s">
        <v>89</v>
      </c>
      <c r="F17" s="5" t="s">
        <v>50</v>
      </c>
      <c r="G17" s="10">
        <v>1</v>
      </c>
      <c r="H17" s="4">
        <v>7.03</v>
      </c>
      <c r="I17" s="4">
        <f t="shared" si="0"/>
        <v>7.03</v>
      </c>
      <c r="J17" s="3" t="s">
        <v>87</v>
      </c>
      <c r="K17" s="5" t="s">
        <v>48</v>
      </c>
      <c r="L17" s="3" t="s">
        <v>90</v>
      </c>
    </row>
    <row r="18" ht="21.75" customHeight="1" spans="2:12">
      <c r="B18" s="11">
        <v>14</v>
      </c>
      <c r="C18" s="6" t="s">
        <v>17</v>
      </c>
      <c r="D18" s="6" t="s">
        <v>91</v>
      </c>
      <c r="E18" s="6" t="s">
        <v>92</v>
      </c>
      <c r="F18" s="8" t="s">
        <v>46</v>
      </c>
      <c r="G18" s="11">
        <v>2</v>
      </c>
      <c r="H18" s="7">
        <v>1.96</v>
      </c>
      <c r="I18" s="7">
        <f t="shared" si="0"/>
        <v>3.92</v>
      </c>
      <c r="J18" s="6" t="s">
        <v>47</v>
      </c>
      <c r="K18" s="8" t="s">
        <v>48</v>
      </c>
      <c r="L18" s="6" t="s">
        <v>93</v>
      </c>
    </row>
    <row r="19" ht="21.75" customHeight="1" spans="2:12">
      <c r="B19" s="10">
        <v>15</v>
      </c>
      <c r="C19" s="3" t="s">
        <v>19</v>
      </c>
      <c r="D19" s="3" t="s">
        <v>94</v>
      </c>
      <c r="E19" s="3" t="s">
        <v>95</v>
      </c>
      <c r="F19" s="5" t="s">
        <v>46</v>
      </c>
      <c r="G19" s="10">
        <v>1</v>
      </c>
      <c r="H19" s="4">
        <v>3.48</v>
      </c>
      <c r="I19" s="4">
        <f t="shared" si="0"/>
        <v>3.48</v>
      </c>
      <c r="J19" s="3" t="s">
        <v>47</v>
      </c>
      <c r="K19" s="5" t="s">
        <v>48</v>
      </c>
      <c r="L19" s="3" t="s">
        <v>96</v>
      </c>
    </row>
    <row r="20" ht="21.75" customHeight="1" spans="2:12">
      <c r="B20" s="11">
        <v>16</v>
      </c>
      <c r="C20" s="6" t="s">
        <v>19</v>
      </c>
      <c r="D20" s="6" t="s">
        <v>97</v>
      </c>
      <c r="E20" s="6" t="s">
        <v>98</v>
      </c>
      <c r="F20" s="8" t="s">
        <v>99</v>
      </c>
      <c r="G20" s="11">
        <v>1</v>
      </c>
      <c r="H20" s="7">
        <v>2.66</v>
      </c>
      <c r="I20" s="7">
        <f t="shared" si="0"/>
        <v>2.66</v>
      </c>
      <c r="J20" s="6" t="s">
        <v>47</v>
      </c>
      <c r="K20" s="8" t="s">
        <v>48</v>
      </c>
      <c r="L20" s="6"/>
    </row>
    <row r="21" ht="21.75" customHeight="1" spans="2:12">
      <c r="B21" s="10">
        <v>17</v>
      </c>
      <c r="C21" s="3" t="s">
        <v>19</v>
      </c>
      <c r="D21" s="3" t="s">
        <v>97</v>
      </c>
      <c r="E21" s="3" t="s">
        <v>100</v>
      </c>
      <c r="F21" s="5" t="s">
        <v>99</v>
      </c>
      <c r="G21" s="10">
        <v>1</v>
      </c>
      <c r="H21" s="4">
        <v>2.36</v>
      </c>
      <c r="I21" s="4">
        <f t="shared" si="0"/>
        <v>2.36</v>
      </c>
      <c r="J21" s="3" t="s">
        <v>47</v>
      </c>
      <c r="K21" s="5" t="s">
        <v>48</v>
      </c>
      <c r="L21" s="3"/>
    </row>
    <row r="22" ht="21.75" customHeight="1" spans="2:12">
      <c r="B22" s="11">
        <v>18</v>
      </c>
      <c r="C22" s="6" t="s">
        <v>19</v>
      </c>
      <c r="D22" s="6" t="s">
        <v>97</v>
      </c>
      <c r="E22" s="6" t="s">
        <v>101</v>
      </c>
      <c r="F22" s="8" t="s">
        <v>99</v>
      </c>
      <c r="G22" s="11">
        <v>1</v>
      </c>
      <c r="H22" s="7">
        <v>2.07</v>
      </c>
      <c r="I22" s="7">
        <f t="shared" si="0"/>
        <v>2.07</v>
      </c>
      <c r="J22" s="6" t="s">
        <v>47</v>
      </c>
      <c r="K22" s="8" t="s">
        <v>48</v>
      </c>
      <c r="L22" s="6"/>
    </row>
    <row r="23" ht="21.75" customHeight="1" spans="2:12">
      <c r="B23" s="10">
        <v>19</v>
      </c>
      <c r="C23" s="3" t="s">
        <v>19</v>
      </c>
      <c r="D23" s="3" t="s">
        <v>97</v>
      </c>
      <c r="E23" s="3" t="s">
        <v>102</v>
      </c>
      <c r="F23" s="5" t="s">
        <v>50</v>
      </c>
      <c r="G23" s="10">
        <v>1</v>
      </c>
      <c r="H23" s="4">
        <v>4.11</v>
      </c>
      <c r="I23" s="4">
        <f t="shared" si="0"/>
        <v>4.11</v>
      </c>
      <c r="J23" s="3" t="s">
        <v>47</v>
      </c>
      <c r="K23" s="5" t="s">
        <v>48</v>
      </c>
      <c r="L23" s="3" t="s">
        <v>103</v>
      </c>
    </row>
    <row r="24" ht="37.5" customHeight="1" spans="2:12">
      <c r="B24" s="11">
        <v>20</v>
      </c>
      <c r="C24" s="6" t="s">
        <v>21</v>
      </c>
      <c r="D24" s="6" t="s">
        <v>21</v>
      </c>
      <c r="E24" s="6" t="s">
        <v>104</v>
      </c>
      <c r="F24" s="8" t="s">
        <v>63</v>
      </c>
      <c r="G24" s="11">
        <v>2</v>
      </c>
      <c r="H24" s="7">
        <v>13.8</v>
      </c>
      <c r="I24" s="7">
        <f t="shared" si="0"/>
        <v>27.6</v>
      </c>
      <c r="J24" s="6" t="s">
        <v>105</v>
      </c>
      <c r="K24" s="8" t="s">
        <v>106</v>
      </c>
      <c r="L24" s="6" t="s">
        <v>107</v>
      </c>
    </row>
    <row r="25" ht="21.75" customHeight="1" spans="2:12">
      <c r="B25" s="10">
        <v>21</v>
      </c>
      <c r="C25" s="3" t="s">
        <v>23</v>
      </c>
      <c r="D25" s="3" t="s">
        <v>108</v>
      </c>
      <c r="E25" s="3" t="s">
        <v>109</v>
      </c>
      <c r="F25" s="5" t="s">
        <v>50</v>
      </c>
      <c r="G25" s="10">
        <v>1</v>
      </c>
      <c r="H25" s="4">
        <v>3</v>
      </c>
      <c r="I25" s="4">
        <f t="shared" si="0"/>
        <v>3</v>
      </c>
      <c r="J25" s="3" t="s">
        <v>79</v>
      </c>
      <c r="K25" s="5" t="s">
        <v>48</v>
      </c>
      <c r="L25" s="3"/>
    </row>
    <row r="26" ht="21.75" customHeight="1" spans="2:12">
      <c r="B26" s="11">
        <v>22</v>
      </c>
      <c r="C26" s="6" t="s">
        <v>23</v>
      </c>
      <c r="D26" s="6" t="s">
        <v>108</v>
      </c>
      <c r="E26" s="6" t="s">
        <v>110</v>
      </c>
      <c r="F26" s="8" t="s">
        <v>50</v>
      </c>
      <c r="G26" s="11">
        <v>1</v>
      </c>
      <c r="H26" s="7">
        <v>3.8</v>
      </c>
      <c r="I26" s="7">
        <f t="shared" si="0"/>
        <v>3.8</v>
      </c>
      <c r="J26" s="6" t="s">
        <v>64</v>
      </c>
      <c r="K26" s="8" t="s">
        <v>48</v>
      </c>
      <c r="L26" s="6"/>
    </row>
    <row r="27" ht="21.75" customHeight="1" spans="2:12">
      <c r="B27" s="10">
        <v>23</v>
      </c>
      <c r="C27" s="3" t="s">
        <v>27</v>
      </c>
      <c r="D27" s="3" t="s">
        <v>111</v>
      </c>
      <c r="E27" s="3" t="s">
        <v>112</v>
      </c>
      <c r="F27" s="5" t="s">
        <v>50</v>
      </c>
      <c r="G27" s="10">
        <v>2</v>
      </c>
      <c r="H27" s="4">
        <v>2.05</v>
      </c>
      <c r="I27" s="4">
        <f t="shared" si="0"/>
        <v>4.1</v>
      </c>
      <c r="J27" s="3" t="s">
        <v>113</v>
      </c>
      <c r="K27" s="5" t="s">
        <v>114</v>
      </c>
      <c r="L27" s="3"/>
    </row>
    <row r="28" ht="21.75" customHeight="1" spans="2:12">
      <c r="B28" s="11">
        <v>24</v>
      </c>
      <c r="C28" s="6" t="s">
        <v>27</v>
      </c>
      <c r="D28" s="6" t="s">
        <v>115</v>
      </c>
      <c r="E28" s="6" t="s">
        <v>112</v>
      </c>
      <c r="F28" s="8" t="s">
        <v>50</v>
      </c>
      <c r="G28" s="11">
        <v>1</v>
      </c>
      <c r="H28" s="7">
        <v>2.88</v>
      </c>
      <c r="I28" s="7">
        <f t="shared" si="0"/>
        <v>2.88</v>
      </c>
      <c r="J28" s="6" t="s">
        <v>113</v>
      </c>
      <c r="K28" s="8" t="s">
        <v>114</v>
      </c>
      <c r="L28" s="6"/>
    </row>
    <row r="29" ht="21.75" customHeight="1" spans="2:12">
      <c r="B29" s="10">
        <v>25</v>
      </c>
      <c r="C29" s="3" t="s">
        <v>27</v>
      </c>
      <c r="D29" s="3" t="s">
        <v>116</v>
      </c>
      <c r="E29" s="3" t="s">
        <v>117</v>
      </c>
      <c r="F29" s="5" t="s">
        <v>50</v>
      </c>
      <c r="G29" s="10">
        <v>1</v>
      </c>
      <c r="H29" s="4">
        <v>2.81</v>
      </c>
      <c r="I29" s="4">
        <f t="shared" si="0"/>
        <v>2.81</v>
      </c>
      <c r="J29" s="3" t="s">
        <v>113</v>
      </c>
      <c r="K29" s="5" t="s">
        <v>114</v>
      </c>
      <c r="L29" s="3"/>
    </row>
    <row r="30" ht="21.75" customHeight="1" spans="2:12">
      <c r="B30" s="11">
        <v>26</v>
      </c>
      <c r="C30" s="6" t="s">
        <v>27</v>
      </c>
      <c r="D30" s="6" t="s">
        <v>118</v>
      </c>
      <c r="E30" s="6" t="s">
        <v>117</v>
      </c>
      <c r="F30" s="8" t="s">
        <v>50</v>
      </c>
      <c r="G30" s="11">
        <v>1</v>
      </c>
      <c r="H30" s="7">
        <v>2.82</v>
      </c>
      <c r="I30" s="7">
        <f t="shared" si="0"/>
        <v>2.82</v>
      </c>
      <c r="J30" s="6" t="s">
        <v>113</v>
      </c>
      <c r="K30" s="8" t="s">
        <v>114</v>
      </c>
      <c r="L30" s="6"/>
    </row>
    <row r="31" ht="21.75" customHeight="1" spans="2:12">
      <c r="B31" s="10">
        <v>27</v>
      </c>
      <c r="C31" s="3" t="s">
        <v>27</v>
      </c>
      <c r="D31" s="3" t="s">
        <v>119</v>
      </c>
      <c r="E31" s="3" t="s">
        <v>117</v>
      </c>
      <c r="F31" s="5" t="s">
        <v>50</v>
      </c>
      <c r="G31" s="10">
        <v>1</v>
      </c>
      <c r="H31" s="4">
        <v>2.63</v>
      </c>
      <c r="I31" s="4">
        <f t="shared" si="0"/>
        <v>2.63</v>
      </c>
      <c r="J31" s="3" t="s">
        <v>113</v>
      </c>
      <c r="K31" s="5" t="s">
        <v>114</v>
      </c>
      <c r="L31" s="3"/>
    </row>
    <row r="32" ht="21.75" customHeight="1" spans="2:12">
      <c r="B32" s="11">
        <v>28</v>
      </c>
      <c r="C32" s="6" t="s">
        <v>27</v>
      </c>
      <c r="D32" s="6" t="s">
        <v>120</v>
      </c>
      <c r="E32" s="6" t="s">
        <v>121</v>
      </c>
      <c r="F32" s="8" t="s">
        <v>50</v>
      </c>
      <c r="G32" s="11">
        <v>1</v>
      </c>
      <c r="H32" s="7">
        <v>1.1</v>
      </c>
      <c r="I32" s="7">
        <f t="shared" si="0"/>
        <v>1.1</v>
      </c>
      <c r="J32" s="6" t="s">
        <v>122</v>
      </c>
      <c r="K32" s="8" t="s">
        <v>51</v>
      </c>
      <c r="L32" s="6"/>
    </row>
    <row r="33" ht="21.75" customHeight="1" spans="2:12">
      <c r="B33" s="10">
        <v>29</v>
      </c>
      <c r="C33" s="3" t="s">
        <v>27</v>
      </c>
      <c r="D33" s="3" t="s">
        <v>123</v>
      </c>
      <c r="E33" s="3" t="s">
        <v>124</v>
      </c>
      <c r="F33" s="5" t="s">
        <v>50</v>
      </c>
      <c r="G33" s="10">
        <v>1</v>
      </c>
      <c r="H33" s="4">
        <v>1.34</v>
      </c>
      <c r="I33" s="4">
        <f t="shared" si="0"/>
        <v>1.34</v>
      </c>
      <c r="J33" s="3" t="s">
        <v>125</v>
      </c>
      <c r="K33" s="5" t="s">
        <v>114</v>
      </c>
      <c r="L33" s="3"/>
    </row>
    <row r="34" ht="21.75" customHeight="1" spans="2:12">
      <c r="B34" s="11">
        <v>30</v>
      </c>
      <c r="C34" s="6" t="s">
        <v>27</v>
      </c>
      <c r="D34" s="6" t="s">
        <v>126</v>
      </c>
      <c r="E34" s="6" t="s">
        <v>127</v>
      </c>
      <c r="F34" s="8" t="s">
        <v>50</v>
      </c>
      <c r="G34" s="11">
        <v>1</v>
      </c>
      <c r="H34" s="7">
        <v>3.84</v>
      </c>
      <c r="I34" s="7">
        <f t="shared" si="0"/>
        <v>3.84</v>
      </c>
      <c r="J34" s="6" t="s">
        <v>113</v>
      </c>
      <c r="K34" s="8" t="s">
        <v>114</v>
      </c>
      <c r="L34" s="6"/>
    </row>
    <row r="35" ht="21.75" customHeight="1" spans="2:12">
      <c r="B35" s="10">
        <v>31</v>
      </c>
      <c r="C35" s="3" t="s">
        <v>27</v>
      </c>
      <c r="D35" s="3" t="s">
        <v>111</v>
      </c>
      <c r="E35" s="3" t="s">
        <v>128</v>
      </c>
      <c r="F35" s="5" t="s">
        <v>50</v>
      </c>
      <c r="G35" s="10">
        <v>1</v>
      </c>
      <c r="H35" s="4">
        <v>3.16</v>
      </c>
      <c r="I35" s="4">
        <f t="shared" si="0"/>
        <v>3.16</v>
      </c>
      <c r="J35" s="3" t="s">
        <v>129</v>
      </c>
      <c r="K35" s="5" t="s">
        <v>130</v>
      </c>
      <c r="L35" s="3"/>
    </row>
    <row r="36" ht="21.75" customHeight="1" spans="2:12">
      <c r="B36" s="11">
        <v>32</v>
      </c>
      <c r="C36" s="6" t="s">
        <v>29</v>
      </c>
      <c r="D36" s="6" t="s">
        <v>131</v>
      </c>
      <c r="E36" s="6" t="s">
        <v>132</v>
      </c>
      <c r="F36" s="8" t="s">
        <v>50</v>
      </c>
      <c r="G36" s="11">
        <v>1</v>
      </c>
      <c r="H36" s="7">
        <v>2.3</v>
      </c>
      <c r="I36" s="7">
        <f t="shared" si="0"/>
        <v>2.3</v>
      </c>
      <c r="J36" s="6" t="s">
        <v>133</v>
      </c>
      <c r="K36" s="8" t="s">
        <v>134</v>
      </c>
      <c r="L36" s="6" t="s">
        <v>135</v>
      </c>
    </row>
    <row r="37" ht="37.5" customHeight="1" spans="2:12">
      <c r="B37" s="10">
        <v>33</v>
      </c>
      <c r="C37" s="3" t="s">
        <v>29</v>
      </c>
      <c r="D37" s="3" t="s">
        <v>136</v>
      </c>
      <c r="E37" s="3" t="s">
        <v>137</v>
      </c>
      <c r="F37" s="5" t="s">
        <v>50</v>
      </c>
      <c r="G37" s="10">
        <v>1</v>
      </c>
      <c r="H37" s="4">
        <v>3.63</v>
      </c>
      <c r="I37" s="4">
        <f t="shared" si="0"/>
        <v>3.63</v>
      </c>
      <c r="J37" s="3" t="s">
        <v>133</v>
      </c>
      <c r="K37" s="5" t="s">
        <v>134</v>
      </c>
      <c r="L37" s="3"/>
    </row>
    <row r="38" ht="21.75" customHeight="1" spans="2:12">
      <c r="B38" s="11">
        <v>34</v>
      </c>
      <c r="C38" s="6" t="s">
        <v>29</v>
      </c>
      <c r="D38" s="6" t="s">
        <v>136</v>
      </c>
      <c r="E38" s="6" t="s">
        <v>138</v>
      </c>
      <c r="F38" s="8" t="s">
        <v>50</v>
      </c>
      <c r="G38" s="11">
        <v>1</v>
      </c>
      <c r="H38" s="7">
        <v>2.7</v>
      </c>
      <c r="I38" s="7">
        <f t="shared" si="0"/>
        <v>2.7</v>
      </c>
      <c r="J38" s="6" t="s">
        <v>139</v>
      </c>
      <c r="K38" s="8" t="s">
        <v>140</v>
      </c>
      <c r="L38" s="6"/>
    </row>
    <row r="39" ht="37.5" customHeight="1" spans="2:12">
      <c r="B39" s="10">
        <v>35</v>
      </c>
      <c r="C39" s="3" t="s">
        <v>25</v>
      </c>
      <c r="D39" s="3" t="s">
        <v>141</v>
      </c>
      <c r="E39" s="3" t="s">
        <v>142</v>
      </c>
      <c r="F39" s="5" t="s">
        <v>50</v>
      </c>
      <c r="G39" s="3"/>
      <c r="H39" s="3"/>
      <c r="I39" s="4">
        <v>0.05</v>
      </c>
      <c r="J39" s="3" t="s">
        <v>50</v>
      </c>
      <c r="K39" s="5" t="s">
        <v>50</v>
      </c>
      <c r="L39" s="3" t="s">
        <v>143</v>
      </c>
    </row>
    <row r="40" ht="37.5" customHeight="1" spans="2:12">
      <c r="B40" s="12"/>
      <c r="C40" s="12" t="s">
        <v>144</v>
      </c>
      <c r="D40" s="12"/>
      <c r="E40" s="12"/>
      <c r="F40" s="12"/>
      <c r="G40" s="12"/>
      <c r="H40" s="12"/>
      <c r="I40" s="13">
        <f>SUM(I5:I39)</f>
        <v>413.49</v>
      </c>
      <c r="J40" s="12"/>
      <c r="K40" s="12"/>
      <c r="L40" s="12"/>
    </row>
    <row r="41" ht="21.75" customHeight="1"/>
    <row r="42" ht="24" customHeight="1" spans="2:12">
      <c r="B42" s="14" t="s">
        <v>145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ht="37.5" customHeight="1" spans="2:12">
      <c r="B43" s="5" t="s">
        <v>146</v>
      </c>
      <c r="C43" s="3" t="s">
        <v>147</v>
      </c>
      <c r="D43" s="3" t="s">
        <v>148</v>
      </c>
      <c r="E43" s="3" t="s">
        <v>149</v>
      </c>
      <c r="F43" s="3"/>
      <c r="G43" s="10">
        <v>1</v>
      </c>
      <c r="H43" s="4">
        <v>12.42</v>
      </c>
      <c r="I43" s="4">
        <f>H43*G43</f>
        <v>12.42</v>
      </c>
      <c r="J43" s="3"/>
      <c r="K43" s="3"/>
      <c r="L43" s="3" t="s">
        <v>150</v>
      </c>
    </row>
    <row r="44" ht="37.5" customHeight="1" spans="2:12">
      <c r="B44" s="8" t="s">
        <v>151</v>
      </c>
      <c r="C44" s="6" t="s">
        <v>152</v>
      </c>
      <c r="D44" s="6" t="s">
        <v>94</v>
      </c>
      <c r="E44" s="6" t="s">
        <v>95</v>
      </c>
      <c r="F44" s="6"/>
      <c r="G44" s="11">
        <v>1</v>
      </c>
      <c r="H44" s="7">
        <v>3.48</v>
      </c>
      <c r="I44" s="7">
        <f>H44*G44</f>
        <v>3.48</v>
      </c>
      <c r="J44" s="6"/>
      <c r="K44" s="6"/>
      <c r="L44" s="6" t="s">
        <v>153</v>
      </c>
    </row>
    <row r="45" ht="37.5" customHeight="1" spans="2:12">
      <c r="B45" s="5" t="s">
        <v>154</v>
      </c>
      <c r="C45" s="3" t="s">
        <v>152</v>
      </c>
      <c r="D45" s="3" t="s">
        <v>84</v>
      </c>
      <c r="E45" s="3" t="s">
        <v>155</v>
      </c>
      <c r="F45" s="3"/>
      <c r="G45" s="10">
        <v>1</v>
      </c>
      <c r="H45" s="4">
        <v>7.03</v>
      </c>
      <c r="I45" s="4">
        <f>H45*G45</f>
        <v>7.03</v>
      </c>
      <c r="J45" s="3"/>
      <c r="K45" s="3"/>
      <c r="L45" s="3" t="s">
        <v>156</v>
      </c>
    </row>
    <row r="46" ht="37.5" customHeight="1" spans="2:12">
      <c r="B46" s="12"/>
      <c r="C46" s="12" t="s">
        <v>157</v>
      </c>
      <c r="D46" s="12"/>
      <c r="E46" s="12"/>
      <c r="F46" s="12"/>
      <c r="G46" s="12"/>
      <c r="H46" s="12"/>
      <c r="I46" s="13">
        <f>SUM(I43:I45)</f>
        <v>22.93</v>
      </c>
      <c r="J46" s="12"/>
      <c r="K46" s="12"/>
      <c r="L46" s="12"/>
    </row>
    <row r="47" ht="25.5" customHeight="1" spans="2:12">
      <c r="B47" s="12"/>
      <c r="C47" s="12" t="s">
        <v>158</v>
      </c>
      <c r="D47" s="12"/>
      <c r="E47" s="12"/>
      <c r="F47" s="12"/>
      <c r="G47" s="12"/>
      <c r="H47" s="12"/>
      <c r="I47" s="13">
        <f>I40+I46</f>
        <v>436.42</v>
      </c>
      <c r="J47" s="12"/>
      <c r="K47" s="12"/>
      <c r="L47" s="12"/>
    </row>
    <row r="49" ht="30" customHeight="1" spans="2:12">
      <c r="B49" s="9" t="s">
        <v>159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</sheetData>
  <autoFilter xmlns:etc="http://www.wps.cn/officeDocument/2017/etCustomData" ref="B4:L40" etc:filterBottomFollowUsedRange="0">
    <extLst/>
  </autoFilter>
  <mergeCells count="4">
    <mergeCell ref="B2:L2"/>
    <mergeCell ref="B3:L3"/>
    <mergeCell ref="B42:L42"/>
    <mergeCell ref="B49:L49"/>
  </mergeCells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24"/>
  <sheetViews>
    <sheetView showGridLines="0" workbookViewId="0">
      <selection activeCell="A1" sqref="A1"/>
    </sheetView>
  </sheetViews>
  <sheetFormatPr defaultColWidth="7.69166666666667" defaultRowHeight="18.5"/>
  <cols>
    <col min="1" max="1" width="2.73333333333333" customWidth="1"/>
    <col min="2" max="2" width="5.45833333333333" customWidth="1"/>
    <col min="3" max="3" width="14.5583333333333" customWidth="1"/>
    <col min="4" max="4" width="30.9333333333333" customWidth="1"/>
    <col min="5" max="7" width="9.1" customWidth="1"/>
    <col min="8" max="8" width="18.2" customWidth="1"/>
    <col min="9" max="9" width="32.7583333333333" customWidth="1"/>
  </cols>
  <sheetData>
    <row r="1" ht="15" customHeight="1"/>
    <row r="2" ht="31.5" customHeight="1" spans="2:9">
      <c r="B2" s="1" t="s">
        <v>160</v>
      </c>
      <c r="C2" s="1"/>
      <c r="D2" s="1"/>
      <c r="E2" s="1"/>
      <c r="F2" s="1"/>
      <c r="G2" s="1"/>
      <c r="H2" s="1"/>
      <c r="I2" s="1"/>
    </row>
    <row r="3" ht="15.75" customHeight="1" spans="2:9">
      <c r="B3" s="9" t="s">
        <v>161</v>
      </c>
      <c r="C3" s="9"/>
      <c r="D3" s="9"/>
      <c r="E3" s="9"/>
      <c r="F3" s="9"/>
      <c r="G3" s="9"/>
      <c r="H3" s="9"/>
      <c r="I3" s="9"/>
    </row>
    <row r="4" ht="27.75" customHeight="1" spans="2:9">
      <c r="B4" s="2" t="s">
        <v>2</v>
      </c>
      <c r="C4" s="2" t="s">
        <v>162</v>
      </c>
      <c r="D4" s="2" t="s">
        <v>163</v>
      </c>
      <c r="E4" s="2" t="s">
        <v>37</v>
      </c>
      <c r="F4" s="2" t="s">
        <v>164</v>
      </c>
      <c r="G4" s="2" t="s">
        <v>38</v>
      </c>
      <c r="H4" s="2" t="s">
        <v>165</v>
      </c>
      <c r="I4" s="2" t="s">
        <v>166</v>
      </c>
    </row>
    <row r="5" ht="37.5" customHeight="1" spans="2:9">
      <c r="B5" s="10">
        <v>1</v>
      </c>
      <c r="C5" s="3" t="s">
        <v>167</v>
      </c>
      <c r="D5" s="3" t="s">
        <v>168</v>
      </c>
      <c r="E5" s="5" t="s">
        <v>46</v>
      </c>
      <c r="F5" s="5" t="s">
        <v>58</v>
      </c>
      <c r="G5" s="5" t="s">
        <v>169</v>
      </c>
      <c r="H5" s="3" t="s">
        <v>170</v>
      </c>
      <c r="I5" s="3" t="s">
        <v>171</v>
      </c>
    </row>
    <row r="6" ht="37.5" customHeight="1" spans="2:9">
      <c r="B6" s="11">
        <v>2</v>
      </c>
      <c r="C6" s="6" t="s">
        <v>11</v>
      </c>
      <c r="D6" s="6" t="s">
        <v>172</v>
      </c>
      <c r="E6" s="8" t="s">
        <v>63</v>
      </c>
      <c r="F6" s="8" t="s">
        <v>173</v>
      </c>
      <c r="G6" s="8" t="s">
        <v>173</v>
      </c>
      <c r="H6" s="6" t="s">
        <v>174</v>
      </c>
      <c r="I6" s="6" t="s">
        <v>175</v>
      </c>
    </row>
    <row r="7" ht="37.5" customHeight="1" spans="2:9">
      <c r="B7" s="10">
        <v>3</v>
      </c>
      <c r="C7" s="3" t="s">
        <v>176</v>
      </c>
      <c r="D7" s="3" t="s">
        <v>177</v>
      </c>
      <c r="E7" s="5" t="s">
        <v>46</v>
      </c>
      <c r="F7" s="5" t="s">
        <v>58</v>
      </c>
      <c r="G7" s="5" t="s">
        <v>58</v>
      </c>
      <c r="H7" s="3" t="s">
        <v>174</v>
      </c>
      <c r="I7" s="3" t="s">
        <v>178</v>
      </c>
    </row>
    <row r="8" ht="21.75" customHeight="1" spans="2:9">
      <c r="B8" s="11">
        <v>4</v>
      </c>
      <c r="C8" s="6" t="s">
        <v>179</v>
      </c>
      <c r="D8" s="6" t="s">
        <v>180</v>
      </c>
      <c r="E8" s="8" t="s">
        <v>58</v>
      </c>
      <c r="F8" s="8" t="s">
        <v>68</v>
      </c>
      <c r="G8" s="8" t="s">
        <v>181</v>
      </c>
      <c r="H8" s="6" t="s">
        <v>182</v>
      </c>
      <c r="I8" s="6" t="s">
        <v>183</v>
      </c>
    </row>
    <row r="9" ht="21.75" customHeight="1" spans="2:9">
      <c r="B9" s="10">
        <v>5</v>
      </c>
      <c r="C9" s="3" t="s">
        <v>184</v>
      </c>
      <c r="D9" s="3" t="s">
        <v>185</v>
      </c>
      <c r="E9" s="5" t="s">
        <v>58</v>
      </c>
      <c r="F9" s="5" t="s">
        <v>68</v>
      </c>
      <c r="G9" s="5" t="s">
        <v>68</v>
      </c>
      <c r="H9" s="3" t="s">
        <v>174</v>
      </c>
      <c r="I9" s="3" t="s">
        <v>186</v>
      </c>
    </row>
    <row r="10" ht="21.75" customHeight="1" spans="2:9">
      <c r="B10" s="11">
        <v>6</v>
      </c>
      <c r="C10" s="6" t="s">
        <v>187</v>
      </c>
      <c r="D10" s="6" t="s">
        <v>188</v>
      </c>
      <c r="E10" s="8" t="s">
        <v>68</v>
      </c>
      <c r="F10" s="8" t="s">
        <v>189</v>
      </c>
      <c r="G10" s="8" t="s">
        <v>189</v>
      </c>
      <c r="H10" s="6" t="s">
        <v>174</v>
      </c>
      <c r="I10" s="6" t="s">
        <v>190</v>
      </c>
    </row>
    <row r="11" ht="21.75" customHeight="1" spans="2:9">
      <c r="B11" s="10">
        <v>7</v>
      </c>
      <c r="C11" s="3" t="s">
        <v>191</v>
      </c>
      <c r="D11" s="3" t="s">
        <v>192</v>
      </c>
      <c r="E11" s="5" t="s">
        <v>63</v>
      </c>
      <c r="F11" s="5" t="s">
        <v>173</v>
      </c>
      <c r="G11" s="5" t="s">
        <v>173</v>
      </c>
      <c r="H11" s="3" t="s">
        <v>174</v>
      </c>
      <c r="I11" s="3" t="s">
        <v>193</v>
      </c>
    </row>
    <row r="12" ht="21.75" customHeight="1" spans="2:9">
      <c r="B12" s="11">
        <v>8</v>
      </c>
      <c r="C12" s="6" t="s">
        <v>15</v>
      </c>
      <c r="D12" s="6" t="s">
        <v>194</v>
      </c>
      <c r="E12" s="8" t="s">
        <v>46</v>
      </c>
      <c r="F12" s="8" t="s">
        <v>58</v>
      </c>
      <c r="G12" s="8" t="s">
        <v>58</v>
      </c>
      <c r="H12" s="6" t="s">
        <v>174</v>
      </c>
      <c r="I12" s="6" t="s">
        <v>195</v>
      </c>
    </row>
    <row r="13" ht="21.75" customHeight="1" spans="2:9">
      <c r="B13" s="10">
        <v>9</v>
      </c>
      <c r="C13" s="3" t="s">
        <v>196</v>
      </c>
      <c r="D13" s="3" t="s">
        <v>197</v>
      </c>
      <c r="E13" s="5" t="s">
        <v>86</v>
      </c>
      <c r="F13" s="5" t="s">
        <v>198</v>
      </c>
      <c r="G13" s="5" t="s">
        <v>199</v>
      </c>
      <c r="H13" s="3" t="s">
        <v>200</v>
      </c>
      <c r="I13" s="3" t="s">
        <v>201</v>
      </c>
    </row>
    <row r="14" ht="21.75" customHeight="1" spans="2:9">
      <c r="B14" s="11">
        <v>10</v>
      </c>
      <c r="C14" s="6" t="s">
        <v>202</v>
      </c>
      <c r="D14" s="6" t="s">
        <v>203</v>
      </c>
      <c r="E14" s="8" t="s">
        <v>46</v>
      </c>
      <c r="F14" s="8" t="s">
        <v>58</v>
      </c>
      <c r="G14" s="8" t="s">
        <v>58</v>
      </c>
      <c r="H14" s="6" t="s">
        <v>174</v>
      </c>
      <c r="I14" s="6" t="s">
        <v>204</v>
      </c>
    </row>
    <row r="15" ht="21.75" customHeight="1" spans="2:9">
      <c r="B15" s="10">
        <v>11</v>
      </c>
      <c r="C15" s="3" t="s">
        <v>205</v>
      </c>
      <c r="D15" s="3" t="s">
        <v>206</v>
      </c>
      <c r="E15" s="5" t="s">
        <v>207</v>
      </c>
      <c r="F15" s="5" t="s">
        <v>46</v>
      </c>
      <c r="G15" s="5" t="s">
        <v>46</v>
      </c>
      <c r="H15" s="3" t="s">
        <v>208</v>
      </c>
      <c r="I15" s="3" t="s">
        <v>209</v>
      </c>
    </row>
    <row r="16" ht="21.75" customHeight="1" spans="2:9">
      <c r="B16" s="11">
        <v>12</v>
      </c>
      <c r="C16" s="6" t="s">
        <v>210</v>
      </c>
      <c r="D16" s="6" t="s">
        <v>211</v>
      </c>
      <c r="E16" s="8" t="s">
        <v>46</v>
      </c>
      <c r="F16" s="8" t="s">
        <v>58</v>
      </c>
      <c r="G16" s="8" t="s">
        <v>58</v>
      </c>
      <c r="H16" s="6" t="s">
        <v>174</v>
      </c>
      <c r="I16" s="6" t="s">
        <v>212</v>
      </c>
    </row>
    <row r="17" ht="37.5" customHeight="1" spans="2:9">
      <c r="B17" s="10">
        <v>13</v>
      </c>
      <c r="C17" s="3" t="s">
        <v>213</v>
      </c>
      <c r="D17" s="3" t="s">
        <v>148</v>
      </c>
      <c r="E17" s="5" t="s">
        <v>207</v>
      </c>
      <c r="F17" s="5" t="s">
        <v>46</v>
      </c>
      <c r="G17" s="5" t="s">
        <v>214</v>
      </c>
      <c r="H17" s="3" t="s">
        <v>215</v>
      </c>
      <c r="I17" s="3" t="s">
        <v>216</v>
      </c>
    </row>
    <row r="18" ht="21.75" customHeight="1" spans="2:9">
      <c r="B18" s="11">
        <v>14</v>
      </c>
      <c r="C18" s="6" t="s">
        <v>217</v>
      </c>
      <c r="D18" s="6" t="s">
        <v>218</v>
      </c>
      <c r="E18" s="8" t="s">
        <v>46</v>
      </c>
      <c r="F18" s="8" t="s">
        <v>58</v>
      </c>
      <c r="G18" s="8" t="s">
        <v>46</v>
      </c>
      <c r="H18" s="6" t="s">
        <v>219</v>
      </c>
      <c r="I18" s="6" t="s">
        <v>220</v>
      </c>
    </row>
    <row r="19" ht="37.5" customHeight="1" spans="2:9">
      <c r="B19" s="10">
        <v>15</v>
      </c>
      <c r="C19" s="3" t="s">
        <v>217</v>
      </c>
      <c r="D19" s="3" t="s">
        <v>221</v>
      </c>
      <c r="E19" s="5" t="s">
        <v>222</v>
      </c>
      <c r="F19" s="5" t="s">
        <v>50</v>
      </c>
      <c r="G19" s="5" t="s">
        <v>223</v>
      </c>
      <c r="H19" s="3" t="s">
        <v>174</v>
      </c>
      <c r="I19" s="3" t="s">
        <v>224</v>
      </c>
    </row>
    <row r="20" ht="37.5" customHeight="1" spans="2:9">
      <c r="B20" s="11">
        <v>16</v>
      </c>
      <c r="C20" s="6" t="s">
        <v>225</v>
      </c>
      <c r="D20" s="6" t="s">
        <v>226</v>
      </c>
      <c r="E20" s="8" t="s">
        <v>63</v>
      </c>
      <c r="F20" s="8" t="s">
        <v>173</v>
      </c>
      <c r="G20" s="8" t="s">
        <v>173</v>
      </c>
      <c r="H20" s="6" t="s">
        <v>174</v>
      </c>
      <c r="I20" s="6" t="s">
        <v>227</v>
      </c>
    </row>
    <row r="21" ht="21.75" customHeight="1" spans="2:9">
      <c r="B21" s="10">
        <v>17</v>
      </c>
      <c r="C21" s="3" t="s">
        <v>228</v>
      </c>
      <c r="D21" s="3" t="s">
        <v>229</v>
      </c>
      <c r="E21" s="5" t="s">
        <v>222</v>
      </c>
      <c r="F21" s="5" t="s">
        <v>50</v>
      </c>
      <c r="G21" s="5" t="s">
        <v>230</v>
      </c>
      <c r="H21" s="3" t="s">
        <v>174</v>
      </c>
      <c r="I21" s="3" t="s">
        <v>231</v>
      </c>
    </row>
    <row r="22" ht="21.75" customHeight="1" spans="2:9">
      <c r="B22" s="11">
        <v>18</v>
      </c>
      <c r="C22" s="6" t="s">
        <v>232</v>
      </c>
      <c r="D22" s="6" t="s">
        <v>233</v>
      </c>
      <c r="E22" s="8" t="s">
        <v>222</v>
      </c>
      <c r="F22" s="8" t="s">
        <v>50</v>
      </c>
      <c r="G22" s="8" t="s">
        <v>230</v>
      </c>
      <c r="H22" s="6" t="s">
        <v>174</v>
      </c>
      <c r="I22" s="6" t="s">
        <v>234</v>
      </c>
    </row>
    <row r="24" ht="30" customHeight="1" spans="2:9">
      <c r="B24" s="9" t="s">
        <v>235</v>
      </c>
      <c r="C24" s="9"/>
      <c r="D24" s="9"/>
      <c r="E24" s="9"/>
      <c r="F24" s="9"/>
      <c r="G24" s="9"/>
      <c r="H24" s="9"/>
      <c r="I24" s="9"/>
    </row>
  </sheetData>
  <mergeCells count="3">
    <mergeCell ref="B2:I2"/>
    <mergeCell ref="B3:I3"/>
    <mergeCell ref="B24:I24"/>
  </mergeCells>
  <pageMargins left="0.4" right="0.4" top="0.5" bottom="0.5" header="0.511811023622047" footer="0.511811023622047"/>
  <pageSetup paperSize="1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19"/>
  <sheetViews>
    <sheetView showGridLines="0" workbookViewId="0">
      <selection activeCell="A1" sqref="A1"/>
    </sheetView>
  </sheetViews>
  <sheetFormatPr defaultColWidth="7.69166666666667" defaultRowHeight="18.5"/>
  <cols>
    <col min="1" max="1" width="2.73333333333333" customWidth="1"/>
    <col min="2" max="2" width="5.45833333333333" customWidth="1"/>
    <col min="3" max="3" width="10.9166666666667" customWidth="1"/>
    <col min="4" max="4" width="23.6583333333333" customWidth="1"/>
    <col min="5" max="5" width="32.7583333333333" customWidth="1"/>
    <col min="6" max="6" width="11.8333333333333" customWidth="1"/>
    <col min="7" max="7" width="9.1" customWidth="1"/>
    <col min="8" max="8" width="12.7416666666667" customWidth="1"/>
    <col min="9" max="9" width="27.3" customWidth="1"/>
  </cols>
  <sheetData>
    <row r="1" ht="15" customHeight="1"/>
    <row r="2" ht="31.5" customHeight="1" spans="2:9">
      <c r="B2" s="1" t="s">
        <v>236</v>
      </c>
      <c r="C2" s="1"/>
      <c r="D2" s="1"/>
      <c r="E2" s="1"/>
      <c r="F2" s="1"/>
      <c r="G2" s="1"/>
      <c r="H2" s="1"/>
      <c r="I2" s="1"/>
    </row>
    <row r="3" ht="15.75" customHeight="1" spans="2:9">
      <c r="B3" s="9" t="s">
        <v>237</v>
      </c>
      <c r="C3" s="9"/>
      <c r="D3" s="9"/>
      <c r="E3" s="9"/>
      <c r="F3" s="9"/>
      <c r="G3" s="9"/>
      <c r="H3" s="9"/>
      <c r="I3" s="9"/>
    </row>
    <row r="4" ht="37.5" customHeight="1" spans="2:9">
      <c r="B4" s="2" t="s">
        <v>2</v>
      </c>
      <c r="C4" s="2" t="s">
        <v>42</v>
      </c>
      <c r="D4" s="2" t="s">
        <v>238</v>
      </c>
      <c r="E4" s="2" t="s">
        <v>239</v>
      </c>
      <c r="F4" s="2" t="s">
        <v>240</v>
      </c>
      <c r="G4" s="2" t="s">
        <v>241</v>
      </c>
      <c r="H4" s="2" t="s">
        <v>242</v>
      </c>
      <c r="I4" s="2" t="s">
        <v>43</v>
      </c>
    </row>
    <row r="5" ht="21.75" customHeight="1" spans="2:9">
      <c r="B5" s="10">
        <v>1</v>
      </c>
      <c r="C5" s="5" t="s">
        <v>48</v>
      </c>
      <c r="D5" s="3" t="s">
        <v>79</v>
      </c>
      <c r="E5" s="3" t="s">
        <v>243</v>
      </c>
      <c r="F5" s="4">
        <v>22.18</v>
      </c>
      <c r="G5" s="4">
        <v>3</v>
      </c>
      <c r="H5" s="4">
        <v>25.18</v>
      </c>
      <c r="I5" s="3"/>
    </row>
    <row r="6" ht="21.75" customHeight="1" spans="2:9">
      <c r="B6" s="11">
        <v>2</v>
      </c>
      <c r="C6" s="8" t="s">
        <v>48</v>
      </c>
      <c r="D6" s="6" t="s">
        <v>69</v>
      </c>
      <c r="E6" s="6" t="s">
        <v>244</v>
      </c>
      <c r="F6" s="7">
        <v>22.64</v>
      </c>
      <c r="G6" s="7">
        <v>0</v>
      </c>
      <c r="H6" s="7">
        <v>22.64</v>
      </c>
      <c r="I6" s="6"/>
    </row>
    <row r="7" ht="21.75" customHeight="1" spans="2:9">
      <c r="B7" s="10">
        <v>3</v>
      </c>
      <c r="C7" s="5" t="s">
        <v>48</v>
      </c>
      <c r="D7" s="3" t="s">
        <v>87</v>
      </c>
      <c r="E7" s="3" t="s">
        <v>245</v>
      </c>
      <c r="F7" s="4">
        <v>26.92</v>
      </c>
      <c r="G7" s="4">
        <v>0</v>
      </c>
      <c r="H7" s="4">
        <v>26.92</v>
      </c>
      <c r="I7" s="3"/>
    </row>
    <row r="8" ht="37.5" customHeight="1" spans="2:9">
      <c r="B8" s="11">
        <v>4</v>
      </c>
      <c r="C8" s="8" t="s">
        <v>48</v>
      </c>
      <c r="D8" s="6" t="s">
        <v>64</v>
      </c>
      <c r="E8" s="6" t="s">
        <v>246</v>
      </c>
      <c r="F8" s="7">
        <v>154.38</v>
      </c>
      <c r="G8" s="7">
        <v>3.8</v>
      </c>
      <c r="H8" s="7">
        <v>158.19</v>
      </c>
      <c r="I8" s="6" t="s">
        <v>247</v>
      </c>
    </row>
    <row r="9" ht="54" customHeight="1" spans="2:9">
      <c r="B9" s="10">
        <v>5</v>
      </c>
      <c r="C9" s="5" t="s">
        <v>48</v>
      </c>
      <c r="D9" s="3" t="s">
        <v>47</v>
      </c>
      <c r="E9" s="3" t="s">
        <v>248</v>
      </c>
      <c r="F9" s="4">
        <v>101.5</v>
      </c>
      <c r="G9" s="4">
        <v>0</v>
      </c>
      <c r="H9" s="4">
        <v>101.54</v>
      </c>
      <c r="I9" s="3" t="s">
        <v>249</v>
      </c>
    </row>
    <row r="10" ht="21.75" customHeight="1" spans="2:9">
      <c r="B10" s="11">
        <v>6</v>
      </c>
      <c r="C10" s="8" t="s">
        <v>134</v>
      </c>
      <c r="D10" s="6" t="s">
        <v>133</v>
      </c>
      <c r="E10" s="6" t="s">
        <v>250</v>
      </c>
      <c r="F10" s="7">
        <v>5.93</v>
      </c>
      <c r="G10" s="7">
        <v>0</v>
      </c>
      <c r="H10" s="7">
        <v>5.93</v>
      </c>
      <c r="I10" s="6"/>
    </row>
    <row r="11" ht="21.75" customHeight="1" spans="2:9">
      <c r="B11" s="10">
        <v>7</v>
      </c>
      <c r="C11" s="5" t="s">
        <v>106</v>
      </c>
      <c r="D11" s="3" t="s">
        <v>105</v>
      </c>
      <c r="E11" s="3" t="s">
        <v>251</v>
      </c>
      <c r="F11" s="4">
        <v>27.6</v>
      </c>
      <c r="G11" s="4">
        <v>0</v>
      </c>
      <c r="H11" s="4">
        <v>27.6</v>
      </c>
      <c r="I11" s="3"/>
    </row>
    <row r="12" ht="21.75" customHeight="1" spans="2:9">
      <c r="B12" s="11">
        <v>8</v>
      </c>
      <c r="C12" s="8" t="s">
        <v>140</v>
      </c>
      <c r="D12" s="6" t="s">
        <v>139</v>
      </c>
      <c r="E12" s="6" t="s">
        <v>252</v>
      </c>
      <c r="F12" s="7">
        <v>2.7</v>
      </c>
      <c r="G12" s="7">
        <v>0</v>
      </c>
      <c r="H12" s="7">
        <v>2.7</v>
      </c>
      <c r="I12" s="6"/>
    </row>
    <row r="13" ht="21.75" customHeight="1" spans="2:9">
      <c r="B13" s="10">
        <v>9</v>
      </c>
      <c r="C13" s="5" t="s">
        <v>130</v>
      </c>
      <c r="D13" s="3" t="s">
        <v>129</v>
      </c>
      <c r="E13" s="3" t="s">
        <v>253</v>
      </c>
      <c r="F13" s="4">
        <v>3.16</v>
      </c>
      <c r="G13" s="4">
        <v>0</v>
      </c>
      <c r="H13" s="4">
        <v>3.16</v>
      </c>
      <c r="I13" s="3"/>
    </row>
    <row r="14" ht="37.5" customHeight="1" spans="2:9">
      <c r="B14" s="11">
        <v>10</v>
      </c>
      <c r="C14" s="8" t="s">
        <v>114</v>
      </c>
      <c r="D14" s="6" t="s">
        <v>113</v>
      </c>
      <c r="E14" s="6" t="s">
        <v>254</v>
      </c>
      <c r="F14" s="7">
        <v>15.24</v>
      </c>
      <c r="G14" s="7">
        <v>0</v>
      </c>
      <c r="H14" s="7">
        <v>15.24</v>
      </c>
      <c r="I14" s="6"/>
    </row>
    <row r="15" ht="21.75" customHeight="1" spans="2:9">
      <c r="B15" s="10">
        <v>11</v>
      </c>
      <c r="C15" s="5" t="s">
        <v>114</v>
      </c>
      <c r="D15" s="3" t="s">
        <v>125</v>
      </c>
      <c r="E15" s="3" t="s">
        <v>255</v>
      </c>
      <c r="F15" s="4">
        <v>1.34</v>
      </c>
      <c r="G15" s="4">
        <v>0</v>
      </c>
      <c r="H15" s="4">
        <v>1.34</v>
      </c>
      <c r="I15" s="3"/>
    </row>
    <row r="16" ht="21.75" customHeight="1" spans="2:9">
      <c r="B16" s="11">
        <v>12</v>
      </c>
      <c r="C16" s="8" t="s">
        <v>114</v>
      </c>
      <c r="D16" s="6" t="s">
        <v>113</v>
      </c>
      <c r="E16" s="6" t="s">
        <v>256</v>
      </c>
      <c r="F16" s="7">
        <v>3.84</v>
      </c>
      <c r="G16" s="7">
        <v>0</v>
      </c>
      <c r="H16" s="7">
        <v>3.84</v>
      </c>
      <c r="I16" s="6"/>
    </row>
    <row r="17" ht="21.75" customHeight="1" spans="2:9">
      <c r="B17" s="10">
        <v>13</v>
      </c>
      <c r="C17" s="5" t="s">
        <v>51</v>
      </c>
      <c r="D17" s="3" t="s">
        <v>47</v>
      </c>
      <c r="E17" s="3" t="s">
        <v>257</v>
      </c>
      <c r="F17" s="4">
        <v>18.11</v>
      </c>
      <c r="G17" s="4">
        <v>0</v>
      </c>
      <c r="H17" s="4">
        <v>18.11</v>
      </c>
      <c r="I17" s="3"/>
    </row>
    <row r="18" ht="21.75" customHeight="1" spans="2:9">
      <c r="B18" s="11">
        <v>14</v>
      </c>
      <c r="C18" s="8" t="s">
        <v>51</v>
      </c>
      <c r="D18" s="6" t="s">
        <v>122</v>
      </c>
      <c r="E18" s="6" t="s">
        <v>258</v>
      </c>
      <c r="F18" s="7">
        <v>1.1</v>
      </c>
      <c r="G18" s="7">
        <v>0</v>
      </c>
      <c r="H18" s="7">
        <v>1.1</v>
      </c>
      <c r="I18" s="6"/>
    </row>
    <row r="19" ht="37.5" customHeight="1" spans="2:9">
      <c r="B19" s="12"/>
      <c r="C19" s="12"/>
      <c r="D19" s="12" t="s">
        <v>31</v>
      </c>
      <c r="E19" s="12"/>
      <c r="F19" s="13">
        <f>SUM(F5:F18)</f>
        <v>406.64</v>
      </c>
      <c r="G19" s="13">
        <f>SUM(G5:G18)</f>
        <v>6.8</v>
      </c>
      <c r="H19" s="13">
        <f>SUM(H5:H18)</f>
        <v>413.49</v>
      </c>
      <c r="I19" s="12"/>
    </row>
  </sheetData>
  <mergeCells count="2">
    <mergeCell ref="B2:I2"/>
    <mergeCell ref="B3:I3"/>
  </mergeCells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B1:E7"/>
  <sheetViews>
    <sheetView showGridLines="0" workbookViewId="0">
      <selection activeCell="A1" sqref="A1"/>
    </sheetView>
  </sheetViews>
  <sheetFormatPr defaultColWidth="7.69166666666667" defaultRowHeight="18.5" outlineLevelRow="6" outlineLevelCol="4"/>
  <cols>
    <col min="1" max="1" width="2.73333333333333" customWidth="1"/>
    <col min="2" max="2" width="26.2" customWidth="1"/>
    <col min="3" max="3" width="14.3833333333333" customWidth="1"/>
    <col min="4" max="5" width="30.9333333333333" customWidth="1"/>
  </cols>
  <sheetData>
    <row r="1" ht="15" customHeight="1"/>
    <row r="2" ht="31.5" customHeight="1" spans="2:5">
      <c r="B2" s="1" t="s">
        <v>259</v>
      </c>
      <c r="C2" s="1"/>
      <c r="D2" s="1"/>
      <c r="E2" s="1"/>
    </row>
    <row r="3" ht="7.5" customHeight="1"/>
    <row r="4" ht="27.75" customHeight="1" spans="2:5">
      <c r="B4" s="2" t="s">
        <v>260</v>
      </c>
      <c r="C4" s="2" t="s">
        <v>261</v>
      </c>
      <c r="D4" s="2" t="s">
        <v>262</v>
      </c>
      <c r="E4" s="2" t="s">
        <v>263</v>
      </c>
    </row>
    <row r="5" ht="37.5" customHeight="1" spans="2:5">
      <c r="B5" s="3" t="s">
        <v>264</v>
      </c>
      <c r="C5" s="4">
        <f>预算明细!I40</f>
        <v>413.49</v>
      </c>
      <c r="D5" s="4">
        <f>订单记录!H19</f>
        <v>413.49</v>
      </c>
      <c r="E5" s="5" t="str">
        <f>IF(ROUND(C5,2)=ROUND(D5,2),"PASS","FAIL")</f>
        <v>PASS</v>
      </c>
    </row>
    <row r="6" ht="37.5" customHeight="1" spans="2:5">
      <c r="B6" s="6" t="s">
        <v>265</v>
      </c>
      <c r="C6" s="7">
        <f>汇总!E17</f>
        <v>413.49</v>
      </c>
      <c r="D6" s="7">
        <f>预算明细!I40</f>
        <v>413.49</v>
      </c>
      <c r="E6" s="8" t="str">
        <f>IF(ROUND(C6,2)=ROUND(D6,2),"PASS","FAIL")</f>
        <v>PASS</v>
      </c>
    </row>
    <row r="7" ht="37.5" customHeight="1" spans="2:5">
      <c r="B7" s="3" t="s">
        <v>266</v>
      </c>
      <c r="C7" s="4" t="e">
        <f>汇总!#REF!</f>
        <v>#REF!</v>
      </c>
      <c r="D7" s="4">
        <f>预算明细!I40+预算明细!I43+预算明细!I44+预算明细!I45</f>
        <v>436.42</v>
      </c>
      <c r="E7" s="5" t="e">
        <f>IF(ROUND(C7,2)=ROUND(D7,2),"PASS","FAIL")</f>
        <v>#REF!</v>
      </c>
    </row>
  </sheetData>
  <mergeCells count="1">
    <mergeCell ref="B2:E2"/>
  </mergeCells>
  <pageMargins left="0.4" right="0.4" top="0.5" bottom="0.5" header="0.511811023622047" footer="0.511811023622047"/>
  <pageSetup paperSize="1" fitToHeight="0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LibreOffice/26.8.0.3$Windows_X86_64 LibreOffice_project/bce0998afefdbc355585ca324285661a2170ba77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预算明细</vt:lpstr>
      <vt:lpstr>选型配置</vt:lpstr>
      <vt:lpstr>订单记录</vt:lpstr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米梓睿</cp:lastModifiedBy>
  <cp:revision>0</cp:revision>
  <dcterms:created xsi:type="dcterms:W3CDTF">2026-10-18T13:14:00Z</dcterms:created>
  <dcterms:modified xsi:type="dcterms:W3CDTF">2026-10-18T13:32:03Z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D7451E79A5B84030A8D8E1F3CBA48BA3_12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